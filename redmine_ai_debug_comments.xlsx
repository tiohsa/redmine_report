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02e4d2dcc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4ac920a02e04717"/>
    <x:sheet xmlns:r="http://schemas.openxmlformats.org/officeDocument/2006/relationships" name="Issues" sheetId="2" r:id="R11a7a35aa535423b"/>
    <x:sheet xmlns:r="http://schemas.openxmlformats.org/officeDocument/2006/relationships" name="IssueComments" sheetId="3" r:id="Re1a7c09000cf4d88"/>
  </x:sheets>
  <x:definedNames>
    <x:definedName name="_xlnm._FilterDatabase" localSheetId="1" hidden="1">'Issues'!$A$1:$M$1</x:definedName>
    <x:definedName name="_xlnm._FilterDatabase" localSheetId="2" hidden="1">'IssueComments'!$A$1:$K$1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yyyy-mm-dd hh:mm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vertical="center"/>
    </x:xf>
    <x:xf numFmtId="0" fontId="0" fillId="0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166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b017538be411f" /><Relationship Type="http://schemas.openxmlformats.org/officeDocument/2006/relationships/theme" Target="/xl/theme/theme1.xml" Id="Rd5cff662a40f47fe" /><Relationship Type="http://schemas.openxmlformats.org/officeDocument/2006/relationships/sharedStrings" Target="/xl/sharedStrings.xml" Id="R7834d696ffd647b1" /><Relationship Type="http://schemas.openxmlformats.org/officeDocument/2006/relationships/worksheet" Target="/xl/worksheets/sheet1.xml" Id="R04ac920a02e04717" /><Relationship Type="http://schemas.openxmlformats.org/officeDocument/2006/relationships/worksheet" Target="/xl/worksheets/sheet2.xml" Id="R11a7a35aa535423b" /><Relationship Type="http://schemas.openxmlformats.org/officeDocument/2006/relationships/worksheet" Target="/xl/worksheets/sheet3.xml" Id="Re1a7c09000cf4d8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6" customWidth="1"/>
    <x:col min="3" max="3" width="40" customWidth="1"/>
  </x:cols>
  <x:sheetData>
    <x:row r="1" ht="22" customHeight="1">
      <x:c r="A1" s="1" t="inlineStr">
        <x:is>
          <x:t xml:space="preserve">項目</x:t>
        </x:is>
      </x:c>
      <x:c r="B1" s="1" t="inlineStr">
        <x:is>
          <x:t xml:space="preserve">値</x:t>
        </x:is>
      </x:c>
      <x:c r="C1" s="1" t="inlineStr">
        <x:is>
          <x:t xml:space="preserve">備考</x:t>
        </x:is>
      </x:c>
    </x:row>
    <x:row r="2">
      <x:c r="A2" s="2" t="inlineStr">
        <x:is>
          <x:t xml:space="preserve">project_id</x:t>
        </x:is>
      </x:c>
      <x:c r="B2" s="2" t="n">
        <x:v>10</x:v>
      </x:c>
      <x:c r="C2" s="2" t="inlineStr">
        <x:is>
          <x:t xml:space="preserve">Redmine project.id</x:t>
        </x:is>
      </x:c>
    </x:row>
    <x:row r="3">
      <x:c r="A3" s="2" t="inlineStr">
        <x:is>
          <x:t xml:space="preserve">project_name</x:t>
        </x:is>
      </x:c>
      <x:c r="B3" s="2" t="inlineStr">
        <x:is>
          <x:t xml:space="preserve">ABC</x:t>
        </x:is>
      </x:c>
      <x:c r="C3" s="2" t="inlineStr">
        <x:is>
          <x:t xml:space="preserve"/>
        </x:is>
      </x:c>
    </x:row>
    <x:row r="4">
      <x:c r="A4" s="2" t="inlineStr">
        <x:is>
          <x:t xml:space="preserve">version_id</x:t>
        </x:is>
      </x:c>
      <x:c r="B4" s="2" t="n">
        <x:v>42</x:v>
      </x:c>
      <x:c r="C4" s="2" t="inlineStr">
        <x:is>
          <x:t xml:space="preserve">Target version (fixed_version_id)</x:t>
        </x:is>
      </x:c>
    </x:row>
    <x:row r="5">
      <x:c r="A5" s="2" t="inlineStr">
        <x:is>
          <x:t xml:space="preserve">version_name</x:t>
        </x:is>
      </x:c>
      <x:c r="B5" s="2" t="inlineStr">
        <x:is>
          <x:t xml:space="preserve">v1.2.0</x:t>
        </x:is>
      </x:c>
      <x:c r="C5" s="2" t="inlineStr">
        <x:is>
          <x:t xml:space="preserve"/>
        </x:is>
      </x:c>
    </x:row>
    <x:row r="6">
      <x:c r="A6" s="2" t="inlineStr">
        <x:is>
          <x:t xml:space="preserve">week_start</x:t>
        </x:is>
      </x:c>
      <x:c r="B6" s="3" t="n">
        <x:v>46062</x:v>
      </x:c>
      <x:c r="C6" s="2" t="inlineStr">
        <x:is>
          <x:t xml:space="preserve">対象週開始（月曜）</x:t>
        </x:is>
      </x:c>
    </x:row>
    <x:row r="7">
      <x:c r="A7" s="2" t="inlineStr">
        <x:is>
          <x:t xml:space="preserve">week_end</x:t>
        </x:is>
      </x:c>
      <x:c r="B7" s="3" t="n">
        <x:v>46068</x:v>
      </x:c>
      <x:c r="C7" s="2" t="inlineStr">
        <x:is>
          <x:t xml:space="preserve">対象週終了（日曜）</x:t>
        </x:is>
      </x:c>
    </x:row>
    <x:row r="8">
      <x:c r="A8" s="2" t="inlineStr">
        <x:is>
          <x:t xml:space="preserve">timezone</x:t>
        </x:is>
      </x:c>
      <x:c r="B8" s="2" t="inlineStr">
        <x:is>
          <x:t xml:space="preserve">Asia/Tokyo</x:t>
        </x:is>
      </x:c>
      <x:c r="C8" s="2" t="inlineStr">
        <x:is>
          <x:t xml:space="preserve">表示用</x:t>
        </x:is>
      </x:c>
    </x:row>
    <x:row r="9">
      <x:c r="A9" s="2" t="inlineStr">
        <x:is>
          <x:t xml:space="preserve">notes_length_limit</x:t>
        </x:is>
      </x:c>
      <x:c r="B9" s="2" t="n">
        <x:v>20000</x:v>
      </x:c>
      <x:c r="C9" s="2" t="inlineStr">
        <x:is>
          <x:t xml:space="preserve">サイズ超過テスト閾値（例）</x:t>
        </x:is>
      </x:c>
    </x:row>
    <x:row r="10">
      <x:c r="A10" s="2" t="inlineStr">
        <x:is>
          <x:t xml:space="preserve">topN</x:t>
        </x:is>
      </x:c>
      <x:c r="B10" s="2" t="n">
        <x:v>10</x:v>
      </x:c>
      <x:c r="C10" s="2" t="inlineStr">
        <x:is>
          <x:t xml:space="preserve">重要トピック上位N（既定）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9" customWidth="1"/>
    <x:col min="4" max="4" width="28" customWidth="1"/>
    <x:col min="5" max="5" width="10" customWidth="1"/>
    <x:col min="6" max="6" width="10" customWidth="1"/>
    <x:col min="7" max="7" width="8" customWidth="1"/>
    <x:col min="8" max="8" width="11" customWidth="1"/>
    <x:col min="9" max="9" width="10" customWidth="1"/>
    <x:col min="10" max="10" width="14" customWidth="1"/>
    <x:col min="11" max="11" width="12" customWidth="1"/>
    <x:col min="12" max="12" width="14" customWidth="1"/>
    <x:col min="13" max="13" width="30" customWidth="1"/>
  </x:cols>
  <x:sheetData>
    <x:row r="1" ht="22" customHeight="1">
      <x:c r="A1" s="4" t="inlineStr">
        <x:is>
          <x:t xml:space="preserve">project_id</x:t>
        </x:is>
      </x:c>
      <x:c r="B1" s="4" t="inlineStr">
        <x:is>
          <x:t xml:space="preserve">version_id</x:t>
        </x:is>
      </x:c>
      <x:c r="C1" s="4" t="inlineStr">
        <x:is>
          <x:t xml:space="preserve">issue_id</x:t>
        </x:is>
      </x:c>
      <x:c r="D1" s="4" t="inlineStr">
        <x:is>
          <x:t xml:space="preserve">subject</x:t>
        </x:is>
      </x:c>
      <x:c r="E1" s="4" t="inlineStr">
        <x:is>
          <x:t xml:space="preserve">tracker</x:t>
        </x:is>
      </x:c>
      <x:c r="F1" s="4" t="inlineStr">
        <x:is>
          <x:t xml:space="preserve">status</x:t>
        </x:is>
      </x:c>
      <x:c r="G1" s="4" t="inlineStr">
        <x:is>
          <x:t xml:space="preserve">priority</x:t>
        </x:is>
      </x:c>
      <x:c r="H1" s="4" t="inlineStr">
        <x:is>
          <x:t xml:space="preserve">due_date</x:t>
        </x:is>
      </x:c>
      <x:c r="I1" s="4" t="inlineStr">
        <x:is>
          <x:t xml:space="preserve">progress_%</x:t>
        </x:is>
      </x:c>
      <x:c r="J1" s="4" t="inlineStr">
        <x:is>
          <x:t xml:space="preserve">estimated_hours</x:t>
        </x:is>
      </x:c>
      <x:c r="K1" s="4" t="inlineStr">
        <x:is>
          <x:t xml:space="preserve">updated_on</x:t>
        </x:is>
      </x:c>
      <x:c r="L1" s="4" t="inlineStr">
        <x:is>
          <x:t xml:space="preserve">layer_expected</x:t>
        </x:is>
      </x:c>
      <x:c r="M1" s="4" t="inlineStr">
        <x:is>
          <x:t xml:space="preserve">notes</x:t>
        </x:is>
      </x:c>
    </x:row>
    <x:row r="2">
      <x:c r="A2" s="5" t="n">
        <x:v>10</x:v>
      </x:c>
      <x:c r="B2" s="5" t="n">
        <x:v>42</x:v>
      </x:c>
      <x:c r="C2" s="5" t="n">
        <x:v>101</x:v>
      </x:c>
      <x:c r="D2" s="5" t="inlineStr">
        <x:is>
          <x:t xml:space="preserve">認証API実装</x:t>
        </x:is>
      </x:c>
      <x:c r="E2" s="5" t="inlineStr">
        <x:is>
          <x:t xml:space="preserve">Feature</x:t>
        </x:is>
      </x:c>
      <x:c r="F2" s="5" t="inlineStr">
        <x:is>
          <x:t xml:space="preserve">進行中</x:t>
        </x:is>
      </x:c>
      <x:c r="G2" s="5" t="inlineStr">
        <x:is>
          <x:t xml:space="preserve">高</x:t>
        </x:is>
      </x:c>
      <x:c r="H2" s="6" t="n">
        <x:v>46067</x:v>
      </x:c>
      <x:c r="I2" s="5" t="n">
        <x:v>70</x:v>
      </x:c>
      <x:c r="J2" s="5" t="n">
        <x:v>24</x:v>
      </x:c>
      <x:c r="K2" s="6" t="n">
        <x:v>46067</x:v>
      </x:c>
      <x:c r="L2" s="5" t="inlineStr">
        <x:is>
          <x:t xml:space="preserve">A</x:t>
        </x:is>
      </x:c>
      <x:c r="M2" s="5" t="inlineStr">
        <x:is>
          <x:t xml:space="preserve">週内更新あり。実績/予定/課題/決定が出る想定。</x:t>
        </x:is>
      </x:c>
    </x:row>
    <x:row r="3">
      <x:c r="A3" s="5" t="n">
        <x:v>10</x:v>
      </x:c>
      <x:c r="B3" s="5" t="n">
        <x:v>42</x:v>
      </x:c>
      <x:c r="C3" s="5" t="n">
        <x:v>102</x:v>
      </x:c>
      <x:c r="D3" s="5" t="inlineStr">
        <x:is>
          <x:t xml:space="preserve">結合試験準備</x:t>
        </x:is>
      </x:c>
      <x:c r="E3" s="5" t="inlineStr">
        <x:is>
          <x:t xml:space="preserve">Task</x:t>
        </x:is>
      </x:c>
      <x:c r="F3" s="5" t="inlineStr">
        <x:is>
          <x:t xml:space="preserve">進行中</x:t>
        </x:is>
      </x:c>
      <x:c r="G3" s="5" t="inlineStr">
        <x:is>
          <x:t xml:space="preserve">中</x:t>
        </x:is>
      </x:c>
      <x:c r="H3" s="6" t="n">
        <x:v>46070</x:v>
      </x:c>
      <x:c r="I3" s="5" t="n">
        <x:v>40</x:v>
      </x:c>
      <x:c r="J3" s="5" t="n">
        <x:v>16</x:v>
      </x:c>
      <x:c r="K3" s="6" t="n">
        <x:v>46065</x:v>
      </x:c>
      <x:c r="L3" s="5" t="inlineStr">
        <x:is>
          <x:t xml:space="preserve">A</x:t>
        </x:is>
      </x:c>
      <x:c r="M3" s="5" t="inlineStr">
        <x:is>
          <x:t xml:space="preserve">週内更新あり。予定/依存リスクが出る想定。</x:t>
        </x:is>
      </x:c>
    </x:row>
    <x:row r="4">
      <x:c r="A4" s="5" t="n">
        <x:v>10</x:v>
      </x:c>
      <x:c r="B4" s="5" t="n">
        <x:v>42</x:v>
      </x:c>
      <x:c r="C4" s="5" t="n">
        <x:v>103</x:v>
      </x:c>
      <x:c r="D4" s="5" t="inlineStr">
        <x:is>
          <x:t xml:space="preserve">DBロック調査</x:t>
        </x:is>
      </x:c>
      <x:c r="E4" s="5" t="inlineStr">
        <x:is>
          <x:t xml:space="preserve">Bug</x:t>
        </x:is>
      </x:c>
      <x:c r="F4" s="5" t="inlineStr">
        <x:is>
          <x:t xml:space="preserve">進行中</x:t>
        </x:is>
      </x:c>
      <x:c r="G4" s="5" t="inlineStr">
        <x:is>
          <x:t xml:space="preserve">高</x:t>
        </x:is>
      </x:c>
      <x:c r="H4" s="6" t="n">
        <x:v>46066</x:v>
      </x:c>
      <x:c r="I4" s="5" t="n">
        <x:v>20</x:v>
      </x:c>
      <x:c r="J4" s="5" t="n">
        <x:v>12</x:v>
      </x:c>
      <x:c r="K4" s="6" t="n">
        <x:v>46066</x:v>
      </x:c>
      <x:c r="L4" s="5" t="inlineStr">
        <x:is>
          <x:t xml:space="preserve">A</x:t>
        </x:is>
      </x:c>
      <x:c r="M4" s="5" t="inlineStr">
        <x:is>
          <x:t xml:space="preserve">週内更新あり。課題/リスク中心。</x:t>
        </x:is>
      </x:c>
    </x:row>
    <x:row r="5">
      <x:c r="A5" s="5" t="n">
        <x:v>10</x:v>
      </x:c>
      <x:c r="B5" s="5" t="n">
        <x:v>42</x:v>
      </x:c>
      <x:c r="C5" s="5" t="n">
        <x:v>104</x:v>
      </x:c>
      <x:c r="D5" s="5" t="inlineStr">
        <x:is>
          <x:t xml:space="preserve">キャッシュ導入</x:t>
        </x:is>
      </x:c>
      <x:c r="E5" s="5" t="inlineStr">
        <x:is>
          <x:t xml:space="preserve">Task</x:t>
        </x:is>
      </x:c>
      <x:c r="F5" s="5" t="inlineStr">
        <x:is>
          <x:t xml:space="preserve">完了</x:t>
        </x:is>
      </x:c>
      <x:c r="G5" s="5" t="inlineStr">
        <x:is>
          <x:t xml:space="preserve">中</x:t>
        </x:is>
      </x:c>
      <x:c r="H5" s="6" t="n">
        <x:v>46064</x:v>
      </x:c>
      <x:c r="I5" s="5" t="n">
        <x:v>100</x:v>
      </x:c>
      <x:c r="J5" s="5" t="n">
        <x:v>8</x:v>
      </x:c>
      <x:c r="K5" s="6" t="n">
        <x:v>46064</x:v>
      </x:c>
      <x:c r="L5" s="5" t="inlineStr">
        <x:is>
          <x:t xml:space="preserve">A</x:t>
        </x:is>
      </x:c>
      <x:c r="M5" s="5" t="inlineStr">
        <x:is>
          <x:t xml:space="preserve">完了実績として抽出される想定。</x:t>
        </x:is>
      </x:c>
    </x:row>
    <x:row r="6">
      <x:c r="A6" s="5" t="n">
        <x:v>10</x:v>
      </x:c>
      <x:c r="B6" s="5" t="n">
        <x:v>42</x:v>
      </x:c>
      <x:c r="C6" s="5" t="n">
        <x:v>105</x:v>
      </x:c>
      <x:c r="D6" s="5" t="inlineStr">
        <x:is>
          <x:t xml:space="preserve">支払いAPI改修</x:t>
        </x:is>
      </x:c>
      <x:c r="E6" s="5" t="inlineStr">
        <x:is>
          <x:t xml:space="preserve">Feature</x:t>
        </x:is>
      </x:c>
      <x:c r="F6" s="5" t="inlineStr">
        <x:is>
          <x:t xml:space="preserve">新規</x:t>
        </x:is>
      </x:c>
      <x:c r="G6" s="5" t="inlineStr">
        <x:is>
          <x:t xml:space="preserve">高</x:t>
        </x:is>
      </x:c>
      <x:c r="H6" s="6" t="n">
        <x:v>46073</x:v>
      </x:c>
      <x:c r="I6" s="5" t="n">
        <x:v>0</x:v>
      </x:c>
      <x:c r="J6" s="5" t="n">
        <x:v>20</x:v>
      </x:c>
      <x:c r="K6" s="6" t="n">
        <x:v>46063</x:v>
      </x:c>
      <x:c r="L6" s="5" t="inlineStr">
        <x:is>
          <x:t xml:space="preserve">B</x:t>
        </x:is>
      </x:c>
      <x:c r="M6" s="5" t="inlineStr">
        <x:is>
          <x:t xml:space="preserve">高優先度・未着手。継続リスク（B層）想定。</x:t>
        </x:is>
      </x:c>
    </x:row>
    <x:row r="7">
      <x:c r="A7" s="5" t="n">
        <x:v>10</x:v>
      </x:c>
      <x:c r="B7" s="5" t="n">
        <x:v>42</x:v>
      </x:c>
      <x:c r="C7" s="5" t="n">
        <x:v>106</x:v>
      </x:c>
      <x:c r="D7" s="5" t="inlineStr">
        <x:is>
          <x:t xml:space="preserve">依存先仕様確定待ち</x:t>
        </x:is>
      </x:c>
      <x:c r="E7" s="5" t="inlineStr">
        <x:is>
          <x:t xml:space="preserve">Task</x:t>
        </x:is>
      </x:c>
      <x:c r="F7" s="5" t="inlineStr">
        <x:is>
          <x:t xml:space="preserve">保留</x:t>
        </x:is>
      </x:c>
      <x:c r="G7" s="5" t="inlineStr">
        <x:is>
          <x:t xml:space="preserve">高</x:t>
        </x:is>
      </x:c>
      <x:c r="H7" s="6" t="n">
        <x:v>46061</x:v>
      </x:c>
      <x:c r="I7" s="5" t="n">
        <x:v>10</x:v>
      </x:c>
      <x:c r="J7" s="5" t="n">
        <x:v>10</x:v>
      </x:c>
      <x:c r="K7" s="6" t="n">
        <x:v>46068</x:v>
      </x:c>
      <x:c r="L7" s="5" t="inlineStr">
        <x:is>
          <x:t xml:space="preserve">B</x:t>
        </x:is>
      </x:c>
      <x:c r="M7" s="5" t="inlineStr">
        <x:is>
          <x:t xml:space="preserve">期日超過＋依存。継続リスク（B層）想定。</x:t>
        </x:is>
      </x:c>
    </x:row>
    <x:row r="8">
      <x:c r="A8" s="5" t="n">
        <x:v>10</x:v>
      </x:c>
      <x:c r="B8" s="5" t="n">
        <x:v>43</x:v>
      </x:c>
      <x:c r="C8" s="5" t="n">
        <x:v>201</x:v>
      </x:c>
      <x:c r="D8" s="5" t="inlineStr">
        <x:is>
          <x:t xml:space="preserve">新規フロー（v1.3.0）</x:t>
        </x:is>
      </x:c>
      <x:c r="E8" s="5" t="inlineStr">
        <x:is>
          <x:t xml:space="preserve">Feature</x:t>
        </x:is>
      </x:c>
      <x:c r="F8" s="5" t="inlineStr">
        <x:is>
          <x:t xml:space="preserve">進行中</x:t>
        </x:is>
      </x:c>
      <x:c r="G8" s="5" t="inlineStr">
        <x:is>
          <x:t xml:space="preserve">中</x:t>
        </x:is>
      </x:c>
      <x:c r="H8" s="6" t="n">
        <x:v>46082</x:v>
      </x:c>
      <x:c r="I8" s="5" t="n">
        <x:v>15</x:v>
      </x:c>
      <x:c r="J8" s="5" t="n">
        <x:v>30</x:v>
      </x:c>
      <x:c r="K8" s="6" t="n">
        <x:v>46067</x:v>
      </x:c>
      <x:c r="L8" s="5" t="inlineStr">
        <x:is>
          <x:t xml:space="preserve">A</x:t>
        </x:is>
      </x:c>
      <x:c r="M8" s="5" t="inlineStr">
        <x:is>
          <x:t xml:space="preserve">別Version混入防止テスト用。</x:t>
        </x:is>
      </x:c>
    </x:row>
    <x:row r="9">
      <x:c r="A9" s="5" t="n">
        <x:v>10</x:v>
      </x:c>
      <x:c r="B9" s="5" t="n"/>
      <x:c r="C9" s="5" t="n">
        <x:v>301</x:v>
      </x:c>
      <x:c r="D9" s="5" t="inlineStr">
        <x:is>
          <x:t xml:space="preserve">Version未割当チケット（除外確認）</x:t>
        </x:is>
      </x:c>
      <x:c r="E9" s="5" t="inlineStr">
        <x:is>
          <x:t xml:space="preserve">Task</x:t>
        </x:is>
      </x:c>
      <x:c r="F9" s="5" t="inlineStr">
        <x:is>
          <x:t xml:space="preserve">進行中</x:t>
        </x:is>
      </x:c>
      <x:c r="G9" s="5" t="inlineStr">
        <x:is>
          <x:t xml:space="preserve">中</x:t>
        </x:is>
      </x:c>
      <x:c r="H9" s="6" t="n">
        <x:v>46067</x:v>
      </x:c>
      <x:c r="I9" s="5" t="n">
        <x:v>30</x:v>
      </x:c>
      <x:c r="J9" s="5" t="n">
        <x:v>6</x:v>
      </x:c>
      <x:c r="K9" s="6" t="n">
        <x:v>46067</x:v>
      </x:c>
      <x:c r="L9" s="5" t="inlineStr">
        <x:is>
          <x:t xml:space="preserve">EXCLUDE</x:t>
        </x:is>
      </x:c>
      <x:c r="M9" s="5" t="inlineStr">
        <x:is>
          <x:t xml:space="preserve">fixed_version_id=NULL。原則対象外の確認。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9" customWidth="1"/>
    <x:col min="4" max="4" width="20" customWidth="1"/>
    <x:col min="5" max="5" width="14" customWidth="1"/>
    <x:col min="6" max="6" width="72" customWidth="1"/>
    <x:col min="7" max="7" width="22" customWidth="1"/>
    <x:col min="8" max="8" width="26" customWidth="1"/>
    <x:col min="9" max="9" width="14" customWidth="1"/>
    <x:col min="10" max="10" width="16" customWidth="1"/>
    <x:col min="11" max="11" width="24" customWidth="1"/>
  </x:cols>
  <x:sheetData>
    <x:row r="1" ht="22" customHeight="1">
      <x:c r="A1" s="4" t="inlineStr">
        <x:is>
          <x:t xml:space="preserve">project_id</x:t>
        </x:is>
      </x:c>
      <x:c r="B1" s="4" t="inlineStr">
        <x:is>
          <x:t xml:space="preserve">version_id</x:t>
        </x:is>
      </x:c>
      <x:c r="C1" s="4" t="inlineStr">
        <x:is>
          <x:t xml:space="preserve">issue_id</x:t>
        </x:is>
      </x:c>
      <x:c r="D1" s="4" t="inlineStr">
        <x:is>
          <x:t xml:space="preserve">journal_created_on</x:t>
        </x:is>
      </x:c>
      <x:c r="E1" s="4" t="inlineStr">
        <x:is>
          <x:t xml:space="preserve">author</x:t>
        </x:is>
      </x:c>
      <x:c r="F1" s="4" t="inlineStr">
        <x:is>
          <x:t xml:space="preserve">notes</x:t>
        </x:is>
      </x:c>
      <x:c r="G1" s="4" t="inlineStr">
        <x:is>
          <x:t xml:space="preserve">expected_tags</x:t>
        </x:is>
      </x:c>
      <x:c r="H1" s="4" t="inlineStr">
        <x:is>
          <x:t xml:space="preserve">expected_extraction</x:t>
        </x:is>
      </x:c>
      <x:c r="I1" s="4" t="inlineStr">
        <x:is>
          <x:t xml:space="preserve">expected_include</x:t>
        </x:is>
      </x:c>
      <x:c r="J1" s="4" t="inlineStr">
        <x:is>
          <x:t xml:space="preserve">in_week_formula</x:t>
        </x:is>
      </x:c>
      <x:c r="K1" s="4" t="inlineStr">
        <x:is>
          <x:t xml:space="preserve">recommended_include_formula</x:t>
        </x:is>
      </x:c>
    </x:row>
    <x:row r="2">
      <x:c r="A2" s="5" t="n">
        <x:v>10</x:v>
      </x:c>
      <x:c r="B2" s="5" t="n">
        <x:v>42</x:v>
      </x:c>
      <x:c r="C2" s="5" t="n">
        <x:v>101</x:v>
      </x:c>
      <x:c r="D2" s="7" t="n">
        <x:v>46063.47222222222</x:v>
      </x:c>
      <x:c r="E2" s="5" t="inlineStr">
        <x:is>
          <x:t xml:space="preserve">Takahashi</x:t>
        </x:is>
      </x:c>
      <x:c r="F2" s="5" t="inlineStr">
        <x:is>
          <x:t xml:space="preserve"># 実績
- 単体試験を完了（テストケース32件、失敗0）
- 認証エラー時のレスポンス仕様を統一（401/403）
# 来週予定
- 結合試験（API Gateway経由）を開始
- 例外ログの粒度調整（error_code追加）
# 課題
- 特定条件でトークン更新が二重実行になる疑い（再現率30%）
# リスク
- 結合試験で再現が増えると修正が来週後半までずれ込む可能性
# 決定事項
- refresh token更新は「排他＋1回のみ」に変更する方針で合意</x:t>
        </x:is>
      </x:c>
      <x:c r="G2" s="5" t="inlineStr">
        <x:is>
          <x:t xml:space="preserve">#実績,#来週予定,#課題,#リスク,#決定事項,#101</x:t>
        </x:is>
      </x:c>
      <x:c r="H2" s="5" t="inlineStr">
        <x:is>
          <x:t xml:space="preserve">Achievement,Plan,Issue,Risk,Decision</x:t>
        </x:is>
      </x:c>
      <x:c r="I2" s="5" t="inlineStr">
        <x:is>
          <x:t xml:space="preserve">Yes</x:t>
        </x:is>
      </x:c>
      <x:c r="J2" s="5" t="str">
        <x:f>IF(AND(D2&gt;=Config!$B$6,D2&lt;=Config!$B$7),"Yes","No")</x:f>
        <x:v>Yes</x:v>
      </x:c>
      <x:c r="K2" s="5" t="str">
        <x:f>IF(AND(J2="Yes",I2="Yes"),"Yes","No")</x:f>
        <x:v>Yes</x:v>
      </x:c>
    </x:row>
    <x:row r="3">
      <x:c r="A3" s="5" t="n">
        <x:v>10</x:v>
      </x:c>
      <x:c r="B3" s="5" t="n">
        <x:v>42</x:v>
      </x:c>
      <x:c r="C3" s="5" t="n">
        <x:v>101</x:v>
      </x:c>
      <x:c r="D3" s="7" t="n">
        <x:v>46063.75347222222</x:v>
      </x:c>
      <x:c r="E3" s="5" t="inlineStr">
        <x:is>
          <x:t xml:space="preserve">Sato</x:t>
        </x:is>
      </x:c>
      <x:c r="F3" s="5" t="inlineStr">
        <x:is>
          <x:t xml:space="preserve">LGTM</x:t>
        </x:is>
      </x:c>
      <x:c r="G3" s="5" t="inlineStr">
        <x:is>
          <x:t xml:space="preserve">#ノイズ</x:t>
        </x:is>
      </x:c>
      <x:c r="H3" s="5" t="inlineStr">
        <x:is>
          <x:t xml:space="preserve">Noise</x:t>
        </x:is>
      </x:c>
      <x:c r="I3" s="5" t="inlineStr">
        <x:is>
          <x:t xml:space="preserve">No</x:t>
        </x:is>
      </x:c>
      <x:c r="J3" s="5" t="str">
        <x:f>IF(AND(D3&gt;=Config!$B$6,D3&lt;=Config!$B$7),"Yes","No")</x:f>
        <x:v>Yes</x:v>
      </x:c>
      <x:c r="K3" s="5" t="str">
        <x:f>IF(AND(J3="Yes",I3="Yes"),"Yes","No")</x:f>
        <x:v>No</x:v>
      </x:c>
    </x:row>
    <x:row r="4">
      <x:c r="A4" s="5" t="n">
        <x:v>10</x:v>
      </x:c>
      <x:c r="B4" s="5" t="n">
        <x:v>42</x:v>
      </x:c>
      <x:c r="C4" s="5" t="n">
        <x:v>102</x:v>
      </x:c>
      <x:c r="D4" s="7" t="n">
        <x:v>46065.38194444445</x:v>
      </x:c>
      <x:c r="E4" s="5" t="inlineStr">
        <x:is>
          <x:t xml:space="preserve">Ito</x:t>
        </x:is>
      </x:c>
      <x:c r="F4" s="5" t="inlineStr">
        <x:is>
          <x:t xml:space="preserve">進捗：結合試験のテストデータ作成を完了。来週から結合試験を回す。
注意：外部環境の疎通はまだ。依存先の証明書更新待ち。</x:t>
        </x:is>
      </x:c>
      <x:c r="G4" s="5" t="inlineStr">
        <x:is>
          <x:t xml:space="preserve">#予定,#依存,#リスク,#102</x:t>
        </x:is>
      </x:c>
      <x:c r="H4" s="5" t="inlineStr">
        <x:is>
          <x:t xml:space="preserve">Achievement,Plan,Risk</x:t>
        </x:is>
      </x:c>
      <x:c r="I4" s="5" t="inlineStr">
        <x:is>
          <x:t xml:space="preserve">Yes</x:t>
        </x:is>
      </x:c>
      <x:c r="J4" s="5" t="str">
        <x:f>IF(AND(D4&gt;=Config!$B$6,D4&lt;=Config!$B$7),"Yes","No")</x:f>
        <x:v>Yes</x:v>
      </x:c>
      <x:c r="K4" s="5" t="str">
        <x:f>IF(AND(J4="Yes",I4="Yes"),"Yes","No")</x:f>
        <x:v>Yes</x:v>
      </x:c>
    </x:row>
    <x:row r="5">
      <x:c r="A5" s="5" t="n">
        <x:v>10</x:v>
      </x:c>
      <x:c r="B5" s="5" t="n">
        <x:v>42</x:v>
      </x:c>
      <x:c r="C5" s="5" t="n">
        <x:v>102</x:v>
      </x:c>
      <x:c r="D5" s="7" t="n">
        <x:v>46065.69444444445</x:v>
      </x:c>
      <x:c r="E5" s="5" t="inlineStr">
        <x:is>
          <x:t xml:space="preserve">Ito</x:t>
        </x:is>
      </x:c>
      <x:c r="F5" s="5" t="inlineStr">
        <x:is>
          <x:t xml:space="preserve">決定：結合試験は「毎日17時に結果を集約」して共有する。失敗ケースは#103と紐付けて起票する。</x:t>
        </x:is>
      </x:c>
      <x:c r="G5" s="5" t="inlineStr">
        <x:is>
          <x:t xml:space="preserve">#決定事項,#運用,#102,#103</x:t>
        </x:is>
      </x:c>
      <x:c r="H5" s="5" t="inlineStr">
        <x:is>
          <x:t xml:space="preserve">Decision,Plan</x:t>
        </x:is>
      </x:c>
      <x:c r="I5" s="5" t="inlineStr">
        <x:is>
          <x:t xml:space="preserve">Yes</x:t>
        </x:is>
      </x:c>
      <x:c r="J5" s="5" t="str">
        <x:f>IF(AND(D5&gt;=Config!$B$6,D5&lt;=Config!$B$7),"Yes","No")</x:f>
        <x:v>Yes</x:v>
      </x:c>
      <x:c r="K5" s="5" t="str">
        <x:f>IF(AND(J5="Yes",I5="Yes"),"Yes","No")</x:f>
        <x:v>Yes</x:v>
      </x:c>
    </x:row>
    <x:row r="6">
      <x:c r="A6" s="5" t="n">
        <x:v>10</x:v>
      </x:c>
      <x:c r="B6" s="5" t="n">
        <x:v>42</x:v>
      </x:c>
      <x:c r="C6" s="5" t="n">
        <x:v>103</x:v>
      </x:c>
      <x:c r="D6" s="7" t="n">
        <x:v>46066.59375</x:v>
      </x:c>
      <x:c r="E6" s="5" t="inlineStr">
        <x:is>
          <x:t xml:space="preserve">Kobayashi</x:t>
        </x:is>
      </x:c>
      <x:c r="F6" s="5" t="inlineStr">
        <x:is>
          <x:t xml:space="preserve">現象：同時実行時にDBロック待ちが発生し、APIがタイムアウトすることがある。
原因仮説：ロック取得順序の不一致（A→B と B→A が混在）。
来週対応：ロック順序の統一 + インデックス確認。
影響：遅延すると結合試験が止まる可能性あり。</x:t>
        </x:is>
      </x:c>
      <x:c r="G6" s="5" t="inlineStr">
        <x:is>
          <x:t xml:space="preserve">#課題,#リスク,#103,#102</x:t>
        </x:is>
      </x:c>
      <x:c r="H6" s="5" t="inlineStr">
        <x:is>
          <x:t xml:space="preserve">Issue,Risk,Plan</x:t>
        </x:is>
      </x:c>
      <x:c r="I6" s="5" t="inlineStr">
        <x:is>
          <x:t xml:space="preserve">Yes</x:t>
        </x:is>
      </x:c>
      <x:c r="J6" s="5" t="str">
        <x:f>IF(AND(D6&gt;=Config!$B$6,D6&lt;=Config!$B$7),"Yes","No")</x:f>
        <x:v>Yes</x:v>
      </x:c>
      <x:c r="K6" s="5" t="str">
        <x:f>IF(AND(J6="Yes",I6="Yes"),"Yes","No")</x:f>
        <x:v>Yes</x:v>
      </x:c>
    </x:row>
    <x:row r="7">
      <x:c r="A7" s="5" t="n">
        <x:v>10</x:v>
      </x:c>
      <x:c r="B7" s="5" t="n">
        <x:v>42</x:v>
      </x:c>
      <x:c r="C7" s="5" t="n">
        <x:v>104</x:v>
      </x:c>
      <x:c r="D7" s="7" t="n">
        <x:v>46064.54166666666</x:v>
      </x:c>
      <x:c r="E7" s="5" t="inlineStr">
        <x:is>
          <x:t xml:space="preserve">Yamada</x:t>
        </x:is>
      </x:c>
      <x:c r="F7" s="5" t="inlineStr">
        <x:is>
          <x:t xml:space="preserve">完了：キャッシュ導入を完了。パフォーマンス測定でp95が約20%改善。
決定：キャッシュはRedisを採用（永続化なし）。接続設定は環境変数で切替。</x:t>
        </x:is>
      </x:c>
      <x:c r="G7" s="5" t="inlineStr">
        <x:is>
          <x:t xml:space="preserve">#完了,#実績,#決定事項,#104</x:t>
        </x:is>
      </x:c>
      <x:c r="H7" s="5" t="inlineStr">
        <x:is>
          <x:t xml:space="preserve">Achievement,Decision</x:t>
        </x:is>
      </x:c>
      <x:c r="I7" s="5" t="inlineStr">
        <x:is>
          <x:t xml:space="preserve">Yes</x:t>
        </x:is>
      </x:c>
      <x:c r="J7" s="5" t="str">
        <x:f>IF(AND(D7&gt;=Config!$B$6,D7&lt;=Config!$B$7),"Yes","No")</x:f>
        <x:v>Yes</x:v>
      </x:c>
      <x:c r="K7" s="5" t="str">
        <x:f>IF(AND(J7="Yes",I7="Yes"),"Yes","No")</x:f>
        <x:v>Yes</x:v>
      </x:c>
    </x:row>
    <x:row r="8">
      <x:c r="A8" s="5" t="n">
        <x:v>10</x:v>
      </x:c>
      <x:c r="B8" s="5" t="n">
        <x:v>42</x:v>
      </x:c>
      <x:c r="C8" s="5" t="n">
        <x:v>105</x:v>
      </x:c>
      <x:c r="D8" s="7" t="n">
        <x:v>46063.42013888889</x:v>
      </x:c>
      <x:c r="E8" s="5" t="inlineStr">
        <x:is>
          <x:t xml:space="preserve">Suzuki</x:t>
        </x:is>
      </x:c>
      <x:c r="F8" s="5" t="inlineStr">
        <x:is>
          <x:t xml:space="preserve">優先度：高。状況：未着手（今週は他作業優先）。来週の最優先で対応が必要。</x:t>
        </x:is>
      </x:c>
      <x:c r="G8" s="5" t="inlineStr">
        <x:is>
          <x:t xml:space="preserve">#高優先度,#未着手,#105</x:t>
        </x:is>
      </x:c>
      <x:c r="H8" s="5" t="inlineStr">
        <x:is>
          <x:t xml:space="preserve">Risk,Plan</x:t>
        </x:is>
      </x:c>
      <x:c r="I8" s="5" t="inlineStr">
        <x:is>
          <x:t xml:space="preserve">Yes</x:t>
        </x:is>
      </x:c>
      <x:c r="J8" s="5" t="str">
        <x:f>IF(AND(D8&gt;=Config!$B$6,D8&lt;=Config!$B$7),"Yes","No")</x:f>
        <x:v>Yes</x:v>
      </x:c>
      <x:c r="K8" s="5" t="str">
        <x:f>IF(AND(J8="Yes",I8="Yes"),"Yes","No")</x:f>
        <x:v>Yes</x:v>
      </x:c>
    </x:row>
    <x:row r="9">
      <x:c r="A9" s="5" t="n">
        <x:v>10</x:v>
      </x:c>
      <x:c r="B9" s="5" t="n">
        <x:v>42</x:v>
      </x:c>
      <x:c r="C9" s="5" t="n">
        <x:v>106</x:v>
      </x:c>
      <x:c r="D9" s="7" t="n">
        <x:v>46068.80555555555</x:v>
      </x:c>
      <x:c r="E9" s="5" t="inlineStr">
        <x:is>
          <x:t xml:space="preserve">Suzuki</x:t>
        </x:is>
      </x:c>
      <x:c r="F9" s="5" t="inlineStr">
        <x:is>
          <x:t xml:space="preserve">期日超過。原因：依存先の仕様確定待ち。
代替案：暫定仕様で実装して後から差し替える案を検討。
リスク：差し替え工数が読めず、v1.2.0の締めに影響する可能性。</x:t>
        </x:is>
      </x:c>
      <x:c r="G9" s="5" t="inlineStr">
        <x:is>
          <x:t xml:space="preserve">#遅延,#依存,#代替案,#106,#リスク</x:t>
        </x:is>
      </x:c>
      <x:c r="H9" s="5" t="inlineStr">
        <x:is>
          <x:t xml:space="preserve">Risk,Plan,Issue</x:t>
        </x:is>
      </x:c>
      <x:c r="I9" s="5" t="inlineStr">
        <x:is>
          <x:t xml:space="preserve">Yes</x:t>
        </x:is>
      </x:c>
      <x:c r="J9" s="5" t="str">
        <x:f>IF(AND(D9&gt;=Config!$B$6,D9&lt;=Config!$B$7),"Yes","No")</x:f>
        <x:v>No</x:v>
      </x:c>
      <x:c r="K9" s="5" t="str">
        <x:f>IF(AND(J9="Yes",I9="Yes"),"Yes","No")</x:f>
        <x:v>No</x:v>
      </x:c>
    </x:row>
    <x:row r="10">
      <x:c r="A10" s="5" t="n">
        <x:v>10</x:v>
      </x:c>
      <x:c r="B10" s="5" t="n">
        <x:v>43</x:v>
      </x:c>
      <x:c r="C10" s="5" t="n">
        <x:v>201</x:v>
      </x:c>
      <x:c r="D10" s="7" t="n">
        <x:v>46067.47916666666</x:v>
      </x:c>
      <x:c r="E10" s="5" t="inlineStr">
        <x:is>
          <x:t xml:space="preserve">Tanaka</x:t>
        </x:is>
      </x:c>
      <x:c r="F10" s="5" t="inlineStr">
        <x:is>
          <x:t xml:space="preserve"># 実績
- 画面の新規フローを実装開始（UIモック反映）
# 来週予定
- APIエンドポイント設計レビュー
# 課題
- UIとAPIの命名が揺れている（用語統一が必要）
# 決定事項
- 用語はユビキタス言語表に合わせる（今週中に確定）</x:t>
        </x:is>
      </x:c>
      <x:c r="G10" s="5" t="inlineStr">
        <x:is>
          <x:t xml:space="preserve">#v1.3.0,#201</x:t>
        </x:is>
      </x:c>
      <x:c r="H10" s="5" t="inlineStr">
        <x:is>
          <x:t xml:space="preserve">Achievement,Plan,Issue,Decision</x:t>
        </x:is>
      </x:c>
      <x:c r="I10" s="5" t="inlineStr">
        <x:is>
          <x:t xml:space="preserve">Yes</x:t>
        </x:is>
      </x:c>
      <x:c r="J10" s="5" t="str">
        <x:f>IF(AND(D10&gt;=Config!$B$6,D10&lt;=Config!$B$7),"Yes","No")</x:f>
        <x:v>Yes</x:v>
      </x:c>
      <x:c r="K10" s="5" t="str">
        <x:f>IF(AND(J10="Yes",I10="Yes"),"Yes","No")</x:f>
        <x:v>Yes</x:v>
      </x:c>
    </x:row>
    <x:row r="11">
      <x:c r="A11" s="5" t="n">
        <x:v>10</x:v>
      </x:c>
      <x:c r="B11" s="5" t="n"/>
      <x:c r="C11" s="5" t="n">
        <x:v>301</x:v>
      </x:c>
      <x:c r="D11" s="7" t="n">
        <x:v>46067.375</x:v>
      </x:c>
      <x:c r="E11" s="5" t="inlineStr">
        <x:is>
          <x:t xml:space="preserve">Aoki</x:t>
        </x:is>
      </x:c>
      <x:c r="F11" s="5" t="inlineStr">
        <x:is>
          <x:t xml:space="preserve">（Version未割当）今週は調査のみ。来週、v1.2.0に含めるか判断する。</x:t>
        </x:is>
      </x:c>
      <x:c r="G11" s="5" t="inlineStr">
        <x:is>
          <x:t xml:space="preserve">#未割当,#301</x:t>
        </x:is>
      </x:c>
      <x:c r="H11" s="5" t="inlineStr">
        <x:is>
          <x:t xml:space="preserve">Plan</x:t>
        </x:is>
      </x:c>
      <x:c r="I11" s="5" t="inlineStr">
        <x:is>
          <x:t xml:space="preserve">No</x:t>
        </x:is>
      </x:c>
      <x:c r="J11" s="5" t="str">
        <x:f>IF(AND(D11&gt;=Config!$B$6,D11&lt;=Config!$B$7),"Yes","No")</x:f>
        <x:v>Yes</x:v>
      </x:c>
      <x:c r="K11" s="5" t="str">
        <x:f>IF(AND(J11="Yes",I11="Yes"),"Yes","No")</x:f>
        <x:v>No</x:v>
      </x:c>
    </x:row>
    <x:row r="12">
      <x:c r="A12" s="5" t="n">
        <x:v>10</x:v>
      </x:c>
      <x:c r="B12" s="5" t="n">
        <x:v>42</x:v>
      </x:c>
      <x:c r="C12" s="5" t="n">
        <x:v>103</x:v>
      </x:c>
      <x:c r="D12" s="7" t="n">
        <x:v>46061.92361111111</x:v>
      </x:c>
      <x:c r="E12" s="5" t="inlineStr">
        <x:is>
          <x:t xml:space="preserve">Kobayashi</x:t>
        </x:is>
      </x:c>
      <x:c r="F12" s="5" t="inlineStr">
        <x:is>
          <x:t xml:space="preserve">（先週）暫定回避策として同時実行数を2に制限。恒久対応は未着手。</x:t>
        </x:is>
      </x:c>
      <x:c r="G12" s="5" t="inlineStr">
        <x:is>
          <x:t xml:space="preserve">#先週,#103</x:t>
        </x:is>
      </x:c>
      <x:c r="H12" s="5" t="inlineStr">
        <x:is>
          <x:t xml:space="preserve">Issue,Risk</x:t>
        </x:is>
      </x:c>
      <x:c r="I12" s="5" t="inlineStr">
        <x:is>
          <x:t xml:space="preserve">No</x:t>
        </x:is>
      </x:c>
      <x:c r="J12" s="5" t="str">
        <x:f>IF(AND(D12&gt;=Config!$B$6,D12&lt;=Config!$B$7),"Yes","No")</x:f>
        <x:v>No</x:v>
      </x:c>
      <x:c r="K12" s="5" t="str">
        <x:f>IF(AND(J12="Yes",I12="Yes"),"Yes","No")</x:f>
        <x:v>No</x:v>
      </x:c>
    </x:row>
    <x:row r="13">
      <x:c r="A13" s="5" t="n">
        <x:v>10</x:v>
      </x:c>
      <x:c r="B13" s="5" t="n">
        <x:v>42</x:v>
      </x:c>
      <x:c r="C13" s="5" t="n">
        <x:v>101</x:v>
      </x:c>
      <x:c r="D13" s="7" t="n">
        <x:v>46067.85416666666</x:v>
      </x:c>
      <x:c r="E13" s="5" t="inlineStr">
        <x:is>
          <x:t xml:space="preserve">Takahashi</x:t>
        </x:is>
      </x:c>
      <x:c r="F13" s="5" t="inlineStr">
        <x:is>
          <x:t xml:space="preserve">明日までに結合試験を開始予定。ただし#106の仕様確定が遅れる場合は試験範囲を縮小する。</x:t>
        </x:is>
      </x:c>
      <x:c r="G13" s="5" t="inlineStr">
        <x:is>
          <x:t xml:space="preserve">#予定,#依存,#リスク,#101,#106</x:t>
        </x:is>
      </x:c>
      <x:c r="H13" s="5" t="inlineStr">
        <x:is>
          <x:t xml:space="preserve">Plan,Risk,Decision</x:t>
        </x:is>
      </x:c>
      <x:c r="I13" s="5" t="inlineStr">
        <x:is>
          <x:t xml:space="preserve">Yes</x:t>
        </x:is>
      </x:c>
      <x:c r="J13" s="5" t="str">
        <x:f>IF(AND(D13&gt;=Config!$B$6,D13&lt;=Config!$B$7),"Yes","No")</x:f>
        <x:v>Yes</x:v>
      </x:c>
      <x:c r="K13" s="5" t="str">
        <x:f>IF(AND(J13="Yes",I13="Yes"),"Yes","No")</x:f>
        <x:v>Yes</x:v>
      </x:c>
    </x:row>
    <x:row r="14">
      <x:c r="A14" s="5" t="n">
        <x:v>10</x:v>
      </x:c>
      <x:c r="B14" s="5" t="n">
        <x:v>42</x:v>
      </x:c>
      <x:c r="C14" s="5" t="n">
        <x:v>103</x:v>
      </x:c>
      <x:c r="D14" s="7" t="n">
        <x:v>46068.42361111111</x:v>
      </x:c>
      <x:c r="E14" s="5" t="inlineStr">
        <x:is>
          <x:t xml:space="preserve">Kobayashi</x:t>
        </x:is>
      </x:c>
      <x:c r="F14" s="5" t="inlineStr">
        <x:is>
          <x:t xml:space="preserve">合意：ロック順序は「ユーザ→注文→決済」で統一する。レビューは2/16午前に実施。</x:t>
        </x:is>
      </x:c>
      <x:c r="G14" s="5" t="inlineStr">
        <x:is>
          <x:t xml:space="preserve">#合意,#決定事項,#103</x:t>
        </x:is>
      </x:c>
      <x:c r="H14" s="5" t="inlineStr">
        <x:is>
          <x:t xml:space="preserve">Decision,Plan</x:t>
        </x:is>
      </x:c>
      <x:c r="I14" s="5" t="inlineStr">
        <x:is>
          <x:t xml:space="preserve">Yes</x:t>
        </x:is>
      </x:c>
      <x:c r="J14" s="5" t="str">
        <x:f>IF(AND(D14&gt;=Config!$B$6,D14&lt;=Config!$B$7),"Yes","No")</x:f>
        <x:v>No</x:v>
      </x:c>
      <x:c r="K14" s="5" t="str">
        <x:f>IF(AND(J14="Yes",I14="Yes"),"Yes","No")</x:f>
        <x:v>No</x:v>
      </x:c>
    </x:row>
    <x:row r="15">
      <x:c r="A15" s="5" t="n">
        <x:v>10</x:v>
      </x:c>
      <x:c r="B15" s="5" t="n">
        <x:v>42</x:v>
      </x:c>
      <x:c r="C15" s="5" t="n">
        <x:v>102</x:v>
      </x:c>
      <x:c r="D15" s="7" t="n">
        <x:v>46066.77083333334</x:v>
      </x:c>
      <x:c r="E15" s="5" t="inlineStr">
        <x:is>
          <x:t xml:space="preserve">Ito</x:t>
        </x:is>
      </x:c>
      <x:c r="F15" s="5" t="inlineStr">
        <x:is>
          <x:t xml:space="preserve">[LOADTEST]
このブロックはサイズ超過テスト用です。ログ、議事メモ、詳細な検証結果が大量に貼られる状況を模擬します。
- 例：詳細ログ: xxxxxxxxxxxxxxxxxxxxxxxxxxxxxxxxxxxxxxxxxxxxxxxxxxxxxxxxxxxxxxxxxxxxxxxxxxxxxxxxxxxxxxxxxxxxxxxxxxxxxxxxxxxxxxxxxxxxxxxxxxxxxxxxxxxxxxxxxxxxxxxxxxxxxxxxxxxxxxxxxxxxxxxxxxxxxxxxxxxx
- 例：詳細ログ: xxxxxxxxxxxxxxxxxxxxxxxxxxxxxxxxxxxxxxxxxxxxxxxxxxxxxxxxxxxxxxxxxxxxxxxxxxxxxxxxxxxxxxxxxxxxxxxxxxxxxxxxxxxxxxxxxxxxxxxxxxxxxxxxxxxxxxxxxxxxxxxxxxxxxxxxxxxxxxxxxxxxxxxxxxxxxxxxxxxx
[/LOADTEST]</x:t>
        </x:is>
      </x:c>
      <x:c r="G15" s="5" t="inlineStr">
        <x:is>
          <x:t xml:space="preserve">#LOADTEST,#102</x:t>
        </x:is>
      </x:c>
      <x:c r="H15" s="5" t="inlineStr">
        <x:is>
          <x:t xml:space="preserve">Noise</x:t>
        </x:is>
      </x:c>
      <x:c r="I15" s="5" t="inlineStr">
        <x:is>
          <x:t xml:space="preserve">No</x:t>
        </x:is>
      </x:c>
      <x:c r="J15" s="5" t="str">
        <x:f>IF(AND(D15&gt;=Config!$B$6,D15&lt;=Config!$B$7),"Yes","No")</x:f>
        <x:v>Yes</x:v>
      </x:c>
      <x:c r="K15" s="5" t="str">
        <x:f>IF(AND(J15="Yes",I15="Yes"),"Yes","No")</x:f>
        <x:v>No</x:v>
      </x:c>
    </x:row>
  </x:sheetData>
  <x:pageMargins left="0.7" right="0.7" top="0.75" bottom="0.75" header="0.3" footer="0.3"/>
</x:worksheet>
</file>